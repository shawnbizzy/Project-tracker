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sir\OneDrive\Documents\issue-tracker\"/>
    </mc:Choice>
  </mc:AlternateContent>
  <xr:revisionPtr revIDLastSave="0" documentId="13_ncr:1_{CB6F0B28-459C-44C1-8FCA-F1B18508F9AF}" xr6:coauthVersionLast="47" xr6:coauthVersionMax="47" xr10:uidLastSave="{00000000-0000-0000-0000-000000000000}"/>
  <bookViews>
    <workbookView showSheetTabs="0" xWindow="270" yWindow="780" windowWidth="20220" windowHeight="10425" xr2:uid="{517B6E03-C467-45BA-85FF-4584AB8B22C7}"/>
  </bookViews>
  <sheets>
    <sheet name="Launch Form" sheetId="5" r:id="rId1"/>
    <sheet name="Data" sheetId="1" state="hidden" r:id="rId2"/>
    <sheet name="Data_Display" sheetId="4" state="hidden" r:id="rId3"/>
    <sheet name="Support" sheetId="3" state="hidden" r:id="rId4"/>
    <sheet name="List" sheetId="2" state="hidden" r:id="rId5"/>
  </sheets>
  <definedNames>
    <definedName name="_xlnm._FilterDatabase" localSheetId="1" hidden="1">Data!$A$1:$K$3</definedName>
    <definedName name="_xlnm._FilterDatabase" localSheetId="3" hidden="1">Support!$K$1:$L$4</definedName>
    <definedName name="X_Department">OFFSET(Support!$N$1,1,0,COUNTA(Support!$N:$N)-1)</definedName>
    <definedName name="X_Issue_Owner">OFFSET(Support!$K$1,1,0,COUNTA(Support!$K:$K)-1)</definedName>
    <definedName name="X_Priority">OFFSET(Support!$H$1,1,0,COUNTA(Support!$H:$H)-1)</definedName>
    <definedName name="X_Project_Impact">OFFSET(Support!$E$1,1,0,COUNTA(Support!$E:$E)-1)</definedName>
    <definedName name="X_Status">OFFSET(Support!$Q$1,1,0,COUNTA(Support!$Q:$Q)-1)</definedName>
    <definedName name="Y_Department">OFFSET(Support!$N$1,1,1,COUNTA(Support!$N:$N)-1)</definedName>
    <definedName name="Y_Issue_Owner">OFFSET(Support!$K$1,1,1,COUNTA(Support!$K:$K)-1)</definedName>
    <definedName name="Y_Priority">OFFSET(Support!$H$1,1,1,COUNTA(Support!$H:$H)-1)</definedName>
    <definedName name="Y_Project_Impact">OFFSET(Support!$E$1,1,1,COUNTA(Support!$E:$E)-1)</definedName>
    <definedName name="Y_Status">OFFSET(Support!$Q$1,1,1,COUNTA(Support!$Q:$Q)-1)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" i="3" l="1"/>
  <c r="O3" i="3"/>
  <c r="O4" i="3"/>
  <c r="L3" i="3"/>
  <c r="L4" i="3"/>
  <c r="L5" i="3"/>
  <c r="I3" i="3"/>
  <c r="I4" i="3"/>
  <c r="F3" i="3"/>
  <c r="F4" i="3"/>
  <c r="F5" i="3"/>
  <c r="D2" i="3" l="1"/>
  <c r="L2" i="3" l="1"/>
  <c r="R2" i="3"/>
  <c r="O2" i="3"/>
  <c r="I2" i="3"/>
  <c r="F2" i="3" l="1"/>
</calcChain>
</file>

<file path=xl/sharedStrings.xml><?xml version="1.0" encoding="utf-8"?>
<sst xmlns="http://schemas.openxmlformats.org/spreadsheetml/2006/main" count="100" uniqueCount="32">
  <si>
    <t>Id</t>
  </si>
  <si>
    <t>Description</t>
  </si>
  <si>
    <t>Project Impact</t>
  </si>
  <si>
    <t>Priority</t>
  </si>
  <si>
    <t>Open Date</t>
  </si>
  <si>
    <t>Closed Date</t>
  </si>
  <si>
    <t>Issue Owner</t>
  </si>
  <si>
    <t>Department</t>
  </si>
  <si>
    <t>Status</t>
  </si>
  <si>
    <t>Comments</t>
  </si>
  <si>
    <t>High</t>
  </si>
  <si>
    <t>Low</t>
  </si>
  <si>
    <t>Medium</t>
  </si>
  <si>
    <t>Critical</t>
  </si>
  <si>
    <t>PK</t>
  </si>
  <si>
    <t>Jack</t>
  </si>
  <si>
    <t>Raj</t>
  </si>
  <si>
    <t>IT</t>
  </si>
  <si>
    <t>HR</t>
  </si>
  <si>
    <t>Admin</t>
  </si>
  <si>
    <t>Open</t>
  </si>
  <si>
    <t>Closed</t>
  </si>
  <si>
    <t>Update Time</t>
  </si>
  <si>
    <t>Start Date</t>
  </si>
  <si>
    <t>End Date</t>
  </si>
  <si>
    <t>Count</t>
  </si>
  <si>
    <t>Total</t>
  </si>
  <si>
    <t>William</t>
  </si>
  <si>
    <t>pipeline repair</t>
  </si>
  <si>
    <t>repair pipeline on or before 20th</t>
  </si>
  <si>
    <t>recruit staffs</t>
  </si>
  <si>
    <t>employ more staffs for next years goal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</si>
</sst>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5" fontId="1" fillId="2" borderId="1" xfId="0" applyNumberFormat="1" applyFont="1" applyFill="1" applyBorder="1" applyAlignment="1">
      <alignment horizontal="center" vertical="center"/>
    </xf>
    <xf numFmtId="15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/>
    <xf numFmtId="0" fontId="0" fillId="8" borderId="0" xfId="0" applyFill="1" applyAlignment="1">
      <alignment horizontal="center" vertical="center"/>
    </xf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Project Impact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Support!$F$1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ED4-45F6-9283-14B2AF046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ED4-45F6-9283-14B2AF046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ED4-45F6-9283-14B2AF046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ED4-45F6-9283-14B2AF046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[0]!X_Project_Impact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Low</c:v>
                </c:pt>
                <c:pt idx="3">
                  <c:v>Medium</c:v>
                </c:pt>
              </c:strCache>
            </c:strRef>
          </c:cat>
          <c:val>
            <c:numRef>
              <c:f>[0]!Y_Project_Impact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A-4321-9B55-732AD1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Priority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Support!$I$1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noFill/>
            </a:ln>
            <a:scene3d>
              <a:camera prst="orthographicFront"/>
              <a:lightRig rig="threePt" dir="t"/>
            </a:scene3d>
            <a:sp3d>
              <a:bevelT w="190500" h="38100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1-FD3F-46D0-83B9-7CE40F2F2E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3-FD3F-46D0-83B9-7CE40F2F2E5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5-FD3F-46D0-83B9-7CE40F2F2E5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7-FD3F-46D0-83B9-7CE40F2F2E50}"/>
              </c:ext>
            </c:extLst>
          </c:dPt>
          <c:dLbls>
            <c:dLbl>
              <c:idx val="0"/>
              <c:layout>
                <c:manualLayout>
                  <c:x val="-0.30434782608695654"/>
                  <c:y val="-2.507836990595608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D3F-46D0-83B9-7CE40F2F2E50}"/>
                </c:ext>
              </c:extLst>
            </c:dLbl>
            <c:dLbl>
              <c:idx val="1"/>
              <c:layout>
                <c:manualLayout>
                  <c:x val="0.20772946859903374"/>
                  <c:y val="-0.1379310344827586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3F-46D0-83B9-7CE40F2F2E50}"/>
                </c:ext>
              </c:extLst>
            </c:dLbl>
            <c:dLbl>
              <c:idx val="2"/>
              <c:layout>
                <c:manualLayout>
                  <c:x val="-0.19806763285024154"/>
                  <c:y val="0.11285266457680251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D3F-46D0-83B9-7CE40F2F2E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[0]!X_Priority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Medium</c:v>
                </c:pt>
              </c:strCache>
            </c:strRef>
          </c:cat>
          <c:val>
            <c:numRef>
              <c:f>[0]!Y_Priority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3F-46D0-83B9-7CE40F2F2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Issue Owner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Support!$I$1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CB-47C6-B0EB-6CE9AECAAC2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CB-47C6-B0EB-6CE9AECAAC2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CB-47C6-B0EB-6CE9AECAAC2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BE5-439C-8197-0D0754D9AF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[0]!X_Issue_Owner</c:f>
              <c:strCache>
                <c:ptCount val="4"/>
                <c:pt idx="0">
                  <c:v>PK</c:v>
                </c:pt>
                <c:pt idx="1">
                  <c:v>Jack</c:v>
                </c:pt>
                <c:pt idx="2">
                  <c:v>Raj</c:v>
                </c:pt>
                <c:pt idx="3">
                  <c:v>William</c:v>
                </c:pt>
              </c:strCache>
            </c:strRef>
          </c:cat>
          <c:val>
            <c:numRef>
              <c:f>[0]!Y_Issue_Owner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B-47C6-B0EB-6CE9AECAA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67341840"/>
        <c:axId val="718838448"/>
      </c:barChart>
      <c:valAx>
        <c:axId val="718838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7341840"/>
        <c:crosses val="autoZero"/>
        <c:crossBetween val="between"/>
      </c:valAx>
      <c:catAx>
        <c:axId val="767341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18838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Support!$F$1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1E-4DA6-84BA-1C16CC6D5A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1E-4DA6-84BA-1C16CC6D5A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1E-4DA6-84BA-1C16CC6D5A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1E-4DA6-84BA-1C16CC6D5A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[0]!X_Department</c:f>
              <c:strCache>
                <c:ptCount val="3"/>
                <c:pt idx="0">
                  <c:v>IT</c:v>
                </c:pt>
                <c:pt idx="1">
                  <c:v>HR</c:v>
                </c:pt>
                <c:pt idx="2">
                  <c:v>Admin</c:v>
                </c:pt>
              </c:strCache>
            </c:strRef>
          </c:cat>
          <c:val>
            <c:numRef>
              <c:f>[0]!Y_Department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1E-4DA6-84BA-1C16CC6D5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Support!$F$1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noFill/>
            </a:ln>
            <a:scene3d>
              <a:camera prst="orthographicFront"/>
              <a:lightRig rig="threePt" dir="t"/>
            </a:scene3d>
            <a:sp3d prstMaterial="matte">
              <a:bevelT w="127000" h="63500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  <a:scene3d>
                <a:camera prst="orthographicFront"/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c:spPr>
            <c:extLst>
              <c:ext xmlns:c16="http://schemas.microsoft.com/office/drawing/2014/chart" uri="{C3380CC4-5D6E-409C-BE32-E72D297353CC}">
                <c16:uniqueId val="{00000001-3A3F-4262-8D1A-C4D61432B45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3-3A3F-4262-8D1A-C4D61432B45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5-3A3F-4262-8D1A-C4D61432B45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7-3A3F-4262-8D1A-C4D61432B456}"/>
              </c:ext>
            </c:extLst>
          </c:dPt>
          <c:dLbls>
            <c:dLbl>
              <c:idx val="0"/>
              <c:layout>
                <c:manualLayout>
                  <c:x val="0.30807453416149067"/>
                  <c:y val="5.015673981191222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3F-4262-8D1A-C4D61432B456}"/>
                </c:ext>
              </c:extLst>
            </c:dLbl>
            <c:dLbl>
              <c:idx val="1"/>
              <c:layout>
                <c:manualLayout>
                  <c:x val="-0.2683229813664596"/>
                  <c:y val="-0.10658307210031351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3F-4262-8D1A-C4D61432B4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[0]!X_Status</c:f>
              <c:strCache>
                <c:ptCount val="2"/>
                <c:pt idx="0">
                  <c:v>Open</c:v>
                </c:pt>
                <c:pt idx="1">
                  <c:v>Closed</c:v>
                </c:pt>
              </c:strCache>
            </c:strRef>
          </c:cat>
          <c:val>
            <c:numRef>
              <c:f>[0]!Y_Status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3F-4262-8D1A-C4D61432B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184150</xdr:colOff>
      <xdr:row>5</xdr:row>
      <xdr:rowOff>152400</xdr:rowOff>
    </xdr:from>
    <xdr:to>
      <xdr:col>9</xdr:col>
      <xdr:colOff>603250</xdr:colOff>
      <xdr:row>8</xdr:row>
      <xdr:rowOff>57150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E0E9A1C-C88A-437A-AC32-82AD43C90508}"/>
            </a:ext>
          </a:extLst>
        </xdr:cNvPr>
        <xdr:cNvSpPr/>
      </xdr:nvSpPr>
      <xdr:spPr>
        <a:xfrm>
          <a:off x="3841750" y="1073150"/>
          <a:ext cx="2247900" cy="45720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Launch Issue Tracker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485775</xdr:colOff>
      <xdr:row>8</xdr:row>
      <xdr:rowOff>6350</xdr:rowOff>
    </xdr:from>
    <xdr:to>
      <xdr:col>4</xdr:col>
      <xdr:colOff>501650</xdr:colOff>
      <xdr:row>16</xdr:row>
      <xdr:rowOff>127000</xdr:rowOff>
    </xdr:to>
    <xdr:graphicFrame macro="">
      <xdr:nvGraphicFramePr>
        <xdr:cNvPr id="2" name="Project_Impact_Chart">
          <a:extLst>
            <a:ext uri="{FF2B5EF4-FFF2-40B4-BE49-F238E27FC236}">
              <a16:creationId xmlns:a16="http://schemas.microsoft.com/office/drawing/2014/main" id="{BBBF96D1-1D81-48BB-A6C9-F25BDA637B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495301</xdr:colOff>
      <xdr:row>17</xdr:row>
      <xdr:rowOff>44450</xdr:rowOff>
    </xdr:from>
    <xdr:to>
      <xdr:col>4</xdr:col>
      <xdr:colOff>520700</xdr:colOff>
      <xdr:row>25</xdr:row>
      <xdr:rowOff>165100</xdr:rowOff>
    </xdr:to>
    <xdr:graphicFrame macro="">
      <xdr:nvGraphicFramePr>
        <xdr:cNvPr id="4" name="Priority_Chart">
          <a:extLst>
            <a:ext uri="{FF2B5EF4-FFF2-40B4-BE49-F238E27FC236}">
              <a16:creationId xmlns:a16="http://schemas.microsoft.com/office/drawing/2014/main" id="{4A5BD45D-B6EA-4067-9703-8E7884BDB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615950</xdr:colOff>
      <xdr:row>8</xdr:row>
      <xdr:rowOff>12700</xdr:rowOff>
    </xdr:from>
    <xdr:to>
      <xdr:col>10</xdr:col>
      <xdr:colOff>50800</xdr:colOff>
      <xdr:row>26</xdr:row>
      <xdr:rowOff>69850</xdr:rowOff>
    </xdr:to>
    <xdr:graphicFrame macro="">
      <xdr:nvGraphicFramePr>
        <xdr:cNvPr id="5" name="Issue_Owner_Chart">
          <a:extLst>
            <a:ext uri="{FF2B5EF4-FFF2-40B4-BE49-F238E27FC236}">
              <a16:creationId xmlns:a16="http://schemas.microsoft.com/office/drawing/2014/main" id="{DF79E9D7-4657-4285-9234-2F13161A2B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241300</xdr:colOff>
      <xdr:row>8</xdr:row>
      <xdr:rowOff>44450</xdr:rowOff>
    </xdr:from>
    <xdr:to>
      <xdr:col>14</xdr:col>
      <xdr:colOff>365125</xdr:colOff>
      <xdr:row>16</xdr:row>
      <xdr:rowOff>165100</xdr:rowOff>
    </xdr:to>
    <xdr:graphicFrame macro="">
      <xdr:nvGraphicFramePr>
        <xdr:cNvPr id="6" name="Department_Chart">
          <a:extLst>
            <a:ext uri="{FF2B5EF4-FFF2-40B4-BE49-F238E27FC236}">
              <a16:creationId xmlns:a16="http://schemas.microsoft.com/office/drawing/2014/main" id="{67CE575E-37FE-4190-BD9C-EC50D147D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10</xdr:col>
      <xdr:colOff>273050</xdr:colOff>
      <xdr:row>17</xdr:row>
      <xdr:rowOff>114300</xdr:rowOff>
    </xdr:from>
    <xdr:to>
      <xdr:col>14</xdr:col>
      <xdr:colOff>400050</xdr:colOff>
      <xdr:row>26</xdr:row>
      <xdr:rowOff>50800</xdr:rowOff>
    </xdr:to>
    <xdr:graphicFrame macro="">
      <xdr:nvGraphicFramePr>
        <xdr:cNvPr id="7" name="Status_Chart">
          <a:extLst>
            <a:ext uri="{FF2B5EF4-FFF2-40B4-BE49-F238E27FC236}">
              <a16:creationId xmlns:a16="http://schemas.microsoft.com/office/drawing/2014/main" id="{594DD53A-2E49-4D5D-89ED-8A0B4179FF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438150</xdr:colOff>
      <xdr:row>0</xdr:row>
      <xdr:rowOff>57150</xdr:rowOff>
    </xdr:from>
    <xdr:to>
      <xdr:col>12</xdr:col>
      <xdr:colOff>247650</xdr:colOff>
      <xdr:row>2</xdr:row>
      <xdr:rowOff>146050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77A3B9-22DB-4CE2-9855-8522BD1C9E8C}"/>
            </a:ext>
          </a:extLst>
        </xdr:cNvPr>
        <xdr:cNvSpPr/>
      </xdr:nvSpPr>
      <xdr:spPr>
        <a:xfrm>
          <a:off x="7512050" y="57150"/>
          <a:ext cx="2247900" cy="45720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Launch Issue Tracker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EA38A-3FAC-482E-80A0-00C69F4B2A23}">
  <sheetPr codeName="Sheet5"/>
  <dimension ref="A1"/>
  <sheetViews>
    <sheetView showGridLines="0" tabSelected="1" workbookViewId="0">
      <selection activeCell="I11" sqref="I1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5F26-FBB1-4067-8906-F10363E8E289}">
  <sheetPr codeName="Sheet1"/>
  <dimension ref="A1:K3"/>
  <sheetViews>
    <sheetView showGridLines="0" workbookViewId="0">
      <selection activeCell="D1" sqref="D1:D1048576"/>
    </sheetView>
  </sheetViews>
  <sheetFormatPr defaultRowHeight="15" x14ac:dyDescent="0.25"/>
  <cols>
    <col min="1" max="1" width="6.140625" customWidth="1"/>
    <col min="2" max="4" width="15.5703125" customWidth="1"/>
    <col min="5" max="6" width="15.5703125" style="4" customWidth="1"/>
    <col min="7" max="11" width="15.5703125" customWidth="1"/>
  </cols>
  <sheetData>
    <row r="1" spans="1:11" ht="1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3" t="s">
        <v>4</v>
      </c>
      <c r="F1" s="3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22</v>
      </c>
    </row>
    <row r="2" spans="1:11" x14ac:dyDescent="0.25">
      <c r="A2">
        <v>1</v>
      </c>
      <c r="B2" t="s">
        <v>28</v>
      </c>
      <c r="C2" t="s">
        <v>10</v>
      </c>
      <c r="D2" t="s">
        <v>10</v>
      </c>
      <c r="E2" s="4">
        <v>44489</v>
      </c>
      <c r="G2" t="s">
        <v>15</v>
      </c>
      <c r="H2" t="s">
        <v>19</v>
      </c>
      <c r="I2" t="s">
        <v>20</v>
      </c>
      <c r="J2" t="s">
        <v>29</v>
      </c>
      <c r="K2" s="12">
        <v>44495.427453703705</v>
      </c>
    </row>
    <row r="3" spans="1:11" x14ac:dyDescent="0.25">
      <c r="A3">
        <v>2</v>
      </c>
      <c r="B3" t="s">
        <v>30</v>
      </c>
      <c r="C3" t="s">
        <v>12</v>
      </c>
      <c r="D3" t="s">
        <v>12</v>
      </c>
      <c r="E3" s="4">
        <v>44496</v>
      </c>
      <c r="G3" t="s">
        <v>15</v>
      </c>
      <c r="H3" t="s">
        <v>18</v>
      </c>
      <c r="I3" t="s">
        <v>20</v>
      </c>
      <c r="J3" t="s">
        <v>31</v>
      </c>
      <c r="K3" s="12">
        <v>44495.429074074076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7D1B1-6306-44F3-8CA3-DB6AF2947520}">
  <sheetPr codeName="Sheet4"/>
  <dimension ref="A1:K3"/>
  <sheetViews>
    <sheetView workbookViewId="0">
      <selection activeCell="D13" sqref="D13"/>
    </sheetView>
  </sheetViews>
  <sheetFormatPr defaultRowHeight="15" x14ac:dyDescent="0.25"/>
  <cols>
    <col min="1" max="1" width="6.85546875" customWidth="1"/>
    <col min="2" max="11" width="17.85546875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3" t="s">
        <v>4</v>
      </c>
      <c r="F1" s="3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22</v>
      </c>
    </row>
    <row r="2" spans="1:11" x14ac:dyDescent="0.25">
      <c r="A2">
        <v>1</v>
      </c>
      <c r="B2" t="s">
        <v>28</v>
      </c>
      <c r="C2" t="s">
        <v>10</v>
      </c>
      <c r="D2" t="s">
        <v>10</v>
      </c>
      <c r="E2" s="4">
        <v>44489</v>
      </c>
      <c r="F2" s="4"/>
      <c r="G2" t="s">
        <v>15</v>
      </c>
      <c r="H2" t="s">
        <v>19</v>
      </c>
      <c r="I2" t="s">
        <v>20</v>
      </c>
      <c r="J2" t="s">
        <v>29</v>
      </c>
      <c r="K2" s="12">
        <v>44495.427453703705</v>
      </c>
    </row>
    <row r="3" spans="1:11" x14ac:dyDescent="0.25">
      <c r="A3">
        <v>2</v>
      </c>
      <c r="B3" t="s">
        <v>30</v>
      </c>
      <c r="C3" t="s">
        <v>12</v>
      </c>
      <c r="D3" t="s">
        <v>12</v>
      </c>
      <c r="E3" s="4">
        <v>44496</v>
      </c>
      <c r="F3" s="4"/>
      <c r="G3" t="s">
        <v>15</v>
      </c>
      <c r="H3" t="s">
        <v>18</v>
      </c>
      <c r="I3" t="s">
        <v>20</v>
      </c>
      <c r="J3" t="s">
        <v>31</v>
      </c>
      <c r="K3" s="12">
        <v>44495.429074074076</v>
      </c>
    </row>
  </sheetData>
  <sortState xmlns:xlrd2="http://schemas.microsoft.com/office/spreadsheetml/2017/richdata2" ref="A2:K3">
    <sortCondition ref="D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7DD77-D6DA-4506-9359-3E4BF7A667DF}">
  <sheetPr codeName="Sheet3"/>
  <dimension ref="A1:R5"/>
  <sheetViews>
    <sheetView showGridLines="0" workbookViewId="0">
      <selection activeCell="Q2" sqref="Q2:Q3"/>
    </sheetView>
  </sheetViews>
  <sheetFormatPr defaultRowHeight="15" x14ac:dyDescent="0.25"/>
  <cols>
    <col min="1" max="1" width="9.140625" bestFit="1" customWidth="1"/>
    <col min="2" max="2" width="8.85546875" bestFit="1" customWidth="1"/>
    <col min="5" max="5" width="13.140625" bestFit="1" customWidth="1"/>
    <col min="6" max="6" width="8.7109375" style="2"/>
    <col min="7" max="7" width="3.85546875" customWidth="1"/>
    <col min="10" max="10" width="3.85546875" customWidth="1"/>
    <col min="11" max="11" width="11.140625" bestFit="1" customWidth="1"/>
    <col min="13" max="13" width="3.85546875" customWidth="1"/>
    <col min="14" max="14" width="11.140625" bestFit="1" customWidth="1"/>
    <col min="16" max="16" width="3.85546875" customWidth="1"/>
  </cols>
  <sheetData>
    <row r="1" spans="1:18" x14ac:dyDescent="0.25">
      <c r="A1" t="s">
        <v>23</v>
      </c>
      <c r="B1" s="4">
        <v>43988</v>
      </c>
      <c r="D1" s="11" t="s">
        <v>26</v>
      </c>
      <c r="E1" s="5" t="s">
        <v>2</v>
      </c>
      <c r="F1" s="5" t="s">
        <v>25</v>
      </c>
      <c r="G1" s="2"/>
      <c r="H1" s="6" t="s">
        <v>3</v>
      </c>
      <c r="I1" s="6" t="s">
        <v>25</v>
      </c>
      <c r="J1" s="2"/>
      <c r="K1" s="7" t="s">
        <v>6</v>
      </c>
      <c r="L1" s="7" t="s">
        <v>25</v>
      </c>
      <c r="M1" s="2"/>
      <c r="N1" s="8" t="s">
        <v>7</v>
      </c>
      <c r="O1" s="8" t="s">
        <v>25</v>
      </c>
      <c r="P1" s="2"/>
      <c r="Q1" s="9" t="s">
        <v>8</v>
      </c>
      <c r="R1" s="10" t="s">
        <v>25</v>
      </c>
    </row>
    <row r="2" spans="1:18" x14ac:dyDescent="0.25">
      <c r="A2" t="s">
        <v>24</v>
      </c>
      <c r="B2" s="4">
        <v>44017</v>
      </c>
      <c r="D2" s="11">
        <f>COUNTIFS(Data!E:E,"&gt;="&amp;Support!B1,Data!E:E,"&lt;="&amp;Support!B2)</f>
        <v>0</v>
      </c>
      <c r="E2" s="2" t="s">
        <v>13</v>
      </c>
      <c r="F2" s="2">
        <f>COUNTIFS(Data!E:E,"&gt;="&amp;Support!$B$1,Data!E:E,"&lt;="&amp;Support!$B$2,Data!C:C,Support!E2)</f>
        <v>0</v>
      </c>
      <c r="H2" s="2" t="s">
        <v>10</v>
      </c>
      <c r="I2" s="2">
        <f>COUNTIFS(Data!E:E,"&gt;="&amp;Support!$B$1,Data!E:E,"&lt;="&amp;Support!$B$2,Data!D:D,Support!H2)</f>
        <v>0</v>
      </c>
      <c r="K2" s="2" t="s">
        <v>14</v>
      </c>
      <c r="L2">
        <f>COUNTIFS(Data!E:E,"&gt;="&amp;Support!$B$1,Data!E:E,"&lt;="&amp;Support!$B$2,Data!G:G,Support!K2)</f>
        <v>0</v>
      </c>
      <c r="N2" s="2" t="s">
        <v>17</v>
      </c>
      <c r="O2">
        <f>COUNTIFS(Data!E:E,"&gt;="&amp;Support!$B$1,Data!E:E,"&lt;="&amp;Support!$B$2,Data!H:H,Support!N2)</f>
        <v>0</v>
      </c>
      <c r="Q2" s="2" t="s">
        <v>20</v>
      </c>
      <c r="R2">
        <f>COUNTIFS(Data!E:E,"&gt;="&amp;Support!$B$1,Data!E:E,"&lt;="&amp;Support!$B$2,Data!I:I,Support!Q2)</f>
        <v>0</v>
      </c>
    </row>
    <row r="3" spans="1:18" x14ac:dyDescent="0.25">
      <c r="E3" s="2" t="s">
        <v>10</v>
      </c>
      <c r="F3" s="2">
        <f>COUNTIFS(Data!E:E,"&gt;="&amp;Support!$B$1,Data!E:E,"&lt;="&amp;Support!$B$2,Data!C:C,Support!E3)</f>
        <v>0</v>
      </c>
      <c r="H3" s="2" t="s">
        <v>11</v>
      </c>
      <c r="I3" s="2">
        <f>COUNTIFS(Data!E:E,"&gt;="&amp;Support!$B$1,Data!E:E,"&lt;="&amp;Support!$B$2,Data!D:D,Support!H3)</f>
        <v>0</v>
      </c>
      <c r="K3" s="2" t="s">
        <v>15</v>
      </c>
      <c r="L3">
        <f>COUNTIFS(Data!E:E,"&gt;="&amp;Support!$B$1,Data!E:E,"&lt;="&amp;Support!$B$2,Data!G:G,Support!K3)</f>
        <v>0</v>
      </c>
      <c r="N3" s="2" t="s">
        <v>18</v>
      </c>
      <c r="O3">
        <f>COUNTIFS(Data!E:E,"&gt;="&amp;Support!$B$1,Data!E:E,"&lt;="&amp;Support!$B$2,Data!H:H,Support!N3)</f>
        <v>0</v>
      </c>
      <c r="Q3" s="2" t="s">
        <v>21</v>
      </c>
      <c r="R3">
        <f>COUNTIFS(Data!E:E,"&gt;="&amp;Support!$B$1,Data!E:E,"&lt;="&amp;Support!$B$2,Data!I:I,Support!Q3)</f>
        <v>0</v>
      </c>
    </row>
    <row r="4" spans="1:18" x14ac:dyDescent="0.25">
      <c r="E4" s="2" t="s">
        <v>11</v>
      </c>
      <c r="F4" s="2">
        <f>COUNTIFS(Data!E:E,"&gt;="&amp;Support!$B$1,Data!E:E,"&lt;="&amp;Support!$B$2,Data!C:C,Support!E4)</f>
        <v>0</v>
      </c>
      <c r="H4" s="2" t="s">
        <v>12</v>
      </c>
      <c r="I4" s="2">
        <f>COUNTIFS(Data!E:E,"&gt;="&amp;Support!$B$1,Data!E:E,"&lt;="&amp;Support!$B$2,Data!D:D,Support!H4)</f>
        <v>0</v>
      </c>
      <c r="K4" s="2" t="s">
        <v>16</v>
      </c>
      <c r="L4">
        <f>COUNTIFS(Data!E:E,"&gt;="&amp;Support!$B$1,Data!E:E,"&lt;="&amp;Support!$B$2,Data!G:G,Support!K4)</f>
        <v>0</v>
      </c>
      <c r="N4" s="2" t="s">
        <v>19</v>
      </c>
      <c r="O4">
        <f>COUNTIFS(Data!E:E,"&gt;="&amp;Support!$B$1,Data!E:E,"&lt;="&amp;Support!$B$2,Data!H:H,Support!N4)</f>
        <v>0</v>
      </c>
    </row>
    <row r="5" spans="1:18" x14ac:dyDescent="0.25">
      <c r="E5" s="2" t="s">
        <v>12</v>
      </c>
      <c r="F5" s="2">
        <f>COUNTIFS(Data!E:E,"&gt;="&amp;Support!$B$1,Data!E:E,"&lt;="&amp;Support!$B$2,Data!C:C,Support!E5)</f>
        <v>0</v>
      </c>
      <c r="K5" t="s">
        <v>27</v>
      </c>
      <c r="L5">
        <f>COUNTIFS(Data!E:E,"&gt;="&amp;Support!$B$1,Data!E:E,"&lt;="&amp;Support!$B$2,Data!G:G,Support!K5)</f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81ADC-F45E-4D5A-99F8-28BDC3969716}">
  <sheetPr codeName="Sheet2"/>
  <dimension ref="A1:E5"/>
  <sheetViews>
    <sheetView showGridLines="0" workbookViewId="0">
      <selection activeCell="D15" sqref="D15"/>
    </sheetView>
  </sheetViews>
  <sheetFormatPr defaultRowHeight="15" x14ac:dyDescent="0.25"/>
  <cols>
    <col min="1" max="1" width="20.28515625" customWidth="1"/>
    <col min="2" max="2" width="12.140625" customWidth="1"/>
    <col min="3" max="3" width="16.42578125" customWidth="1"/>
    <col min="4" max="4" width="14.140625" customWidth="1"/>
    <col min="5" max="5" width="12.140625" customWidth="1"/>
  </cols>
  <sheetData>
    <row r="1" spans="1:5" x14ac:dyDescent="0.25">
      <c r="A1" s="1" t="s">
        <v>2</v>
      </c>
      <c r="B1" s="1" t="s">
        <v>3</v>
      </c>
      <c r="C1" s="1" t="s">
        <v>6</v>
      </c>
      <c r="D1" s="1" t="s">
        <v>7</v>
      </c>
      <c r="E1" s="1" t="s">
        <v>8</v>
      </c>
    </row>
    <row r="2" spans="1:5" x14ac:dyDescent="0.25">
      <c r="A2" s="2" t="s">
        <v>13</v>
      </c>
      <c r="B2" s="2" t="s">
        <v>10</v>
      </c>
      <c r="C2" s="2" t="s">
        <v>14</v>
      </c>
      <c r="D2" s="2" t="s">
        <v>17</v>
      </c>
      <c r="E2" s="2" t="s">
        <v>20</v>
      </c>
    </row>
    <row r="3" spans="1:5" x14ac:dyDescent="0.25">
      <c r="A3" s="2" t="s">
        <v>10</v>
      </c>
      <c r="B3" s="2" t="s">
        <v>11</v>
      </c>
      <c r="C3" s="2" t="s">
        <v>15</v>
      </c>
      <c r="D3" s="2" t="s">
        <v>18</v>
      </c>
      <c r="E3" s="2" t="s">
        <v>21</v>
      </c>
    </row>
    <row r="4" spans="1:5" x14ac:dyDescent="0.25">
      <c r="A4" s="2" t="s">
        <v>11</v>
      </c>
      <c r="B4" s="2" t="s">
        <v>12</v>
      </c>
      <c r="C4" s="2" t="s">
        <v>16</v>
      </c>
      <c r="D4" s="2" t="s">
        <v>19</v>
      </c>
      <c r="E4" s="2"/>
    </row>
    <row r="5" spans="1:5" x14ac:dyDescent="0.25">
      <c r="A5" s="2" t="s">
        <v>12</v>
      </c>
      <c r="B5" s="2"/>
      <c r="C5" s="2" t="s">
        <v>27</v>
      </c>
      <c r="D5" s="2"/>
      <c r="E5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Launch Form</vt:lpstr>
      <vt:lpstr>Data</vt:lpstr>
      <vt:lpstr>Data_Display</vt:lpstr>
      <vt:lpstr>Support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Priyendra</dc:creator>
  <cp:lastModifiedBy>seun adeolu</cp:lastModifiedBy>
  <dcterms:created xsi:type="dcterms:W3CDTF">2020-06-08T05:15:45Z</dcterms:created>
  <dcterms:modified xsi:type="dcterms:W3CDTF">2021-10-27T23:57:54Z</dcterms:modified>
</cp:coreProperties>
</file>